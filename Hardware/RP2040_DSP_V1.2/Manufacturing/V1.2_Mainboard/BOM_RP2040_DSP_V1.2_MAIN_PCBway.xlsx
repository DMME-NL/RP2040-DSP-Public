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GIT\Personal\RP2040-DPS\Hardware\RP2040_DSP_V1.2\Manufacturing\V1.2_Mainboard_Gerbers\"/>
    </mc:Choice>
  </mc:AlternateContent>
  <xr:revisionPtr revIDLastSave="0" documentId="13_ncr:1_{8C1E9BF1-F7D8-42EF-9F27-E4BCFAB857CB}" xr6:coauthVersionLast="47" xr6:coauthVersionMax="47" xr10:uidLastSave="{00000000-0000-0000-0000-000000000000}"/>
  <bookViews>
    <workbookView xWindow="0" yWindow="0" windowWidth="258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1" l="1"/>
  <c r="A15" i="1"/>
  <c r="A16" i="1"/>
  <c r="A17" i="1"/>
  <c r="A18" i="1"/>
  <c r="A19" i="1" s="1"/>
  <c r="A20" i="1" s="1"/>
  <c r="A21" i="1" s="1"/>
  <c r="A22" i="1" s="1"/>
  <c r="A23" i="1" s="1"/>
  <c r="A8" i="1" l="1"/>
  <c r="A9" i="1" s="1"/>
  <c r="A10" i="1" s="1"/>
  <c r="A11" i="1" s="1"/>
  <c r="A12" i="1" s="1"/>
  <c r="A13" i="1" s="1"/>
</calcChain>
</file>

<file path=xl/sharedStrings.xml><?xml version="1.0" encoding="utf-8"?>
<sst xmlns="http://schemas.openxmlformats.org/spreadsheetml/2006/main" count="128" uniqueCount="81">
  <si>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</si>
  <si>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</si>
  <si>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</si>
  <si>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</si>
  <si>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</si>
  <si>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</si>
  <si>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</si>
  <si>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</si>
  <si>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</si>
  <si>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</si>
  <si>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SMD</t>
  </si>
  <si>
    <t>U3</t>
  </si>
  <si>
    <t>U5</t>
  </si>
  <si>
    <t>0805</t>
  </si>
  <si>
    <t>Need a quick and accurante quote? Need an efficient production? Please read SMT Ordering Necessary Files &amp; Info in 1 minute. Thank you very much!</t>
  </si>
  <si>
    <t>Click for Instructions on How to Create a BOM</t>
  </si>
  <si>
    <t>R7,R1,R2,R9,R13,R10,R4,R3,R8</t>
  </si>
  <si>
    <t>Rb1,Rb4,Rb3,Rb2</t>
  </si>
  <si>
    <t>Rg1,Rg2,R11,R12</t>
  </si>
  <si>
    <t>R5,Rp1,R6</t>
  </si>
  <si>
    <t>D2,D3</t>
  </si>
  <si>
    <t>C9,C30</t>
  </si>
  <si>
    <t>U13</t>
  </si>
  <si>
    <t>AMS1117CD-3.3</t>
  </si>
  <si>
    <t>C17,C16</t>
  </si>
  <si>
    <t>U10,U9</t>
  </si>
  <si>
    <t>D1</t>
  </si>
  <si>
    <t>U6</t>
  </si>
  <si>
    <t>PCA9555DB</t>
  </si>
  <si>
    <t>C1</t>
  </si>
  <si>
    <t>TO-252-3</t>
  </si>
  <si>
    <t>SOIC-8</t>
  </si>
  <si>
    <t>SSOP-24</t>
  </si>
  <si>
    <t>TSSOP-16</t>
  </si>
  <si>
    <t>RC0805FR-071KL</t>
  </si>
  <si>
    <t>RC0805FR-071ML</t>
  </si>
  <si>
    <t>YAEGO</t>
  </si>
  <si>
    <t>Kingbright</t>
  </si>
  <si>
    <t>APT2012SRCPRV</t>
  </si>
  <si>
    <t>Advanced Monolithic Systems</t>
  </si>
  <si>
    <t>APS6404L-3SQR-SN</t>
  </si>
  <si>
    <t>Texas Instruments</t>
  </si>
  <si>
    <t>NE5532DR</t>
  </si>
  <si>
    <t>RC0805FR-074K7L</t>
  </si>
  <si>
    <t>RC0805FR-0710KL</t>
  </si>
  <si>
    <t>IC REG LINEAR 3.3V 1A TO252</t>
  </si>
  <si>
    <t>LED RED CLEAR CHIP SMD</t>
  </si>
  <si>
    <t>DRAM 64Mb QSPI PSRAM Sync Serial x1/x4 SDR</t>
  </si>
  <si>
    <t>AP Memory</t>
  </si>
  <si>
    <t xml:space="preserve">	SOP-8</t>
  </si>
  <si>
    <t>IC OPAMP GP 2 CIRCUIT 8SOIC</t>
  </si>
  <si>
    <t>CD4051BPWR</t>
  </si>
  <si>
    <t>IC MUX 8:1 240OHM 16TSSOP</t>
  </si>
  <si>
    <t>IC XPNDR 400KHZ I2C SMBUS 24SSOP</t>
  </si>
  <si>
    <t>RES 10K OHM 1% 1/8W 0805</t>
  </si>
  <si>
    <t>RES 4.7K OHM 1% 1/8W 0805</t>
  </si>
  <si>
    <t>RES 1M OHM 1% 1/8W 0805</t>
  </si>
  <si>
    <t>RES 1K OHM 1% 1/8W 0805</t>
  </si>
  <si>
    <t>CAP CER 0.1UF 50V X7R 0805</t>
  </si>
  <si>
    <t>CAP CER 1UF 25V X5R 0805</t>
  </si>
  <si>
    <t>GRM216R61E105KA12D</t>
  </si>
  <si>
    <t>Murata Electronics</t>
  </si>
  <si>
    <t>GCM21BR71H104KA37K</t>
  </si>
  <si>
    <t>GRM2165C1H101JA01J</t>
  </si>
  <si>
    <t>CAP CER 100PF 50V C0G/NP0 0805</t>
  </si>
  <si>
    <t>CAP ALUM 10UF 20% 25V SMD</t>
  </si>
  <si>
    <t>CAP ALUM 100UF 20% 16V SMD</t>
  </si>
  <si>
    <t>865080343009</t>
  </si>
  <si>
    <t>C_Elec 6.3mm</t>
  </si>
  <si>
    <t>Würth Elektronik</t>
  </si>
  <si>
    <t>865080440002</t>
  </si>
  <si>
    <t>C_Elec 4.3mm</t>
  </si>
  <si>
    <t>RP2040 DSP V1.2 PCS BOM  (Sample Bill of Materials)</t>
  </si>
  <si>
    <t>LM78M05CDT/NOPB</t>
  </si>
  <si>
    <t>IC REG LINEAR 5V 500MA TO252-3</t>
  </si>
  <si>
    <t>DIODE SCHOTTKY 40V 500MA 0805</t>
  </si>
  <si>
    <t>SD0805S040S0R5</t>
  </si>
  <si>
    <t>KYOCERA AVX</t>
  </si>
  <si>
    <t>C28,C21,C25,C3,C18,C12,C2,C5,C11,C24,C13,C20,C10,C19,C6,C4,C29</t>
  </si>
  <si>
    <t>C15,C8,C7,C26,C27,C23,C22,C14</t>
  </si>
  <si>
    <t>Replace with generic part with same specs is 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</si>
</sst>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9" fillId="0" borderId="1" xfId="0" applyFont="1" applyBorder="1" applyAlignment="1"/>
    <xf numFmtId="49" fontId="9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8" fillId="4" borderId="1" xfId="0" applyNumberFormat="1" applyFont="1" applyFill="1" applyBorder="1" applyAlignment="1">
      <alignment horizontal="left" wrapText="1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828675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tabSelected="1" topLeftCell="G1" workbookViewId="0">
      <selection activeCell="I7" sqref="I7"/>
    </sheetView>
  </sheetViews>
  <sheetFormatPr defaultColWidth="9" defaultRowHeight="14.25"/>
  <cols>
    <col min="1" max="1" width="6.5703125" style="1" bestFit="1" customWidth="1"/>
    <col min="2" max="2" width="72.140625" style="1" bestFit="1" customWidth="1"/>
    <col min="3" max="3" width="4.7109375" style="1" bestFit="1" customWidth="1"/>
    <col min="4" max="4" width="29.28515625" style="1" bestFit="1" customWidth="1"/>
    <col min="5" max="5" width="24.85546875" style="1" bestFit="1" customWidth="1"/>
    <col min="6" max="6" width="44.7109375" style="1" bestFit="1" customWidth="1"/>
    <col min="7" max="7" width="18.5703125" style="1" bestFit="1" customWidth="1"/>
    <col min="8" max="8" width="8.140625" style="1" bestFit="1" customWidth="1"/>
    <col min="9" max="9" width="48.28515625" style="1" bestFit="1" customWidth="1"/>
    <col min="10" max="10" width="9" style="1"/>
    <col min="11" max="11" width="9.42578125" style="1" bestFit="1" customWidth="1"/>
    <col min="12" max="16384" width="9" style="1"/>
  </cols>
  <sheetData>
    <row r="2" spans="1:9" ht="19.5" customHeight="1">
      <c r="A2" s="19"/>
      <c r="B2" s="19"/>
      <c r="D2" s="17" t="s">
        <v>72</v>
      </c>
      <c r="E2" s="18"/>
      <c r="F2" s="18"/>
    </row>
    <row r="3" spans="1:9">
      <c r="A3" s="19"/>
      <c r="B3" s="19"/>
      <c r="D3" s="18"/>
      <c r="E3" s="18"/>
      <c r="F3" s="18"/>
    </row>
    <row r="4" spans="1:9">
      <c r="D4" s="18"/>
      <c r="E4" s="18"/>
      <c r="F4" s="18"/>
    </row>
    <row r="6" spans="1:9" ht="28.5" customHeight="1">
      <c r="A6" s="3" t="s">
        <v>0</v>
      </c>
      <c r="B6" s="4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7" t="s">
        <v>29</v>
      </c>
      <c r="C7" s="6">
        <v>1</v>
      </c>
      <c r="D7" s="13" t="s">
        <v>69</v>
      </c>
      <c r="E7" s="11" t="s">
        <v>67</v>
      </c>
      <c r="F7" s="10" t="s">
        <v>66</v>
      </c>
      <c r="G7" s="10" t="s">
        <v>68</v>
      </c>
      <c r="H7" s="9" t="s">
        <v>10</v>
      </c>
      <c r="I7" s="20" t="s">
        <v>80</v>
      </c>
    </row>
    <row r="8" spans="1:9">
      <c r="A8" s="6">
        <f>A7+1</f>
        <v>2</v>
      </c>
      <c r="B8" s="7" t="s">
        <v>79</v>
      </c>
      <c r="C8" s="6">
        <v>10</v>
      </c>
      <c r="D8" s="13" t="s">
        <v>69</v>
      </c>
      <c r="E8" s="11" t="s">
        <v>70</v>
      </c>
      <c r="F8" s="10" t="s">
        <v>65</v>
      </c>
      <c r="G8" s="10" t="s">
        <v>71</v>
      </c>
      <c r="H8" s="9" t="s">
        <v>10</v>
      </c>
      <c r="I8" s="20" t="s">
        <v>80</v>
      </c>
    </row>
    <row r="9" spans="1:9">
      <c r="A9" s="6">
        <f t="shared" ref="A9:A23" si="0">A8+1</f>
        <v>3</v>
      </c>
      <c r="B9" s="7" t="s">
        <v>24</v>
      </c>
      <c r="C9" s="6">
        <v>2</v>
      </c>
      <c r="D9" s="13" t="s">
        <v>61</v>
      </c>
      <c r="E9" s="13" t="s">
        <v>63</v>
      </c>
      <c r="F9" s="10" t="s">
        <v>64</v>
      </c>
      <c r="G9" s="10" t="s">
        <v>13</v>
      </c>
      <c r="H9" s="9" t="s">
        <v>10</v>
      </c>
      <c r="I9" s="20" t="s">
        <v>80</v>
      </c>
    </row>
    <row r="10" spans="1:9">
      <c r="A10" s="6">
        <f t="shared" si="0"/>
        <v>4</v>
      </c>
      <c r="B10" s="7" t="s">
        <v>78</v>
      </c>
      <c r="C10" s="6">
        <v>18</v>
      </c>
      <c r="D10" s="13" t="s">
        <v>61</v>
      </c>
      <c r="E10" s="11" t="s">
        <v>62</v>
      </c>
      <c r="F10" s="10" t="s">
        <v>58</v>
      </c>
      <c r="G10" s="10" t="s">
        <v>13</v>
      </c>
      <c r="H10" s="9" t="s">
        <v>10</v>
      </c>
      <c r="I10" s="20" t="s">
        <v>80</v>
      </c>
    </row>
    <row r="11" spans="1:9">
      <c r="A11" s="6">
        <f t="shared" si="0"/>
        <v>5</v>
      </c>
      <c r="B11" s="7" t="s">
        <v>21</v>
      </c>
      <c r="C11" s="6">
        <v>2</v>
      </c>
      <c r="D11" s="13" t="s">
        <v>61</v>
      </c>
      <c r="E11" s="13" t="s">
        <v>60</v>
      </c>
      <c r="F11" s="10" t="s">
        <v>59</v>
      </c>
      <c r="G11" s="10" t="s">
        <v>13</v>
      </c>
      <c r="H11" s="9" t="s">
        <v>10</v>
      </c>
      <c r="I11" s="20" t="s">
        <v>80</v>
      </c>
    </row>
    <row r="12" spans="1:9">
      <c r="A12" s="6">
        <f t="shared" si="0"/>
        <v>6</v>
      </c>
      <c r="B12" s="7" t="s">
        <v>26</v>
      </c>
      <c r="C12" s="6">
        <v>1</v>
      </c>
      <c r="D12" s="13" t="s">
        <v>77</v>
      </c>
      <c r="E12" s="11" t="s">
        <v>76</v>
      </c>
      <c r="F12" s="12" t="s">
        <v>75</v>
      </c>
      <c r="G12" s="10" t="s">
        <v>13</v>
      </c>
      <c r="H12" s="9" t="s">
        <v>10</v>
      </c>
      <c r="I12" s="20" t="s">
        <v>80</v>
      </c>
    </row>
    <row r="13" spans="1:9">
      <c r="A13" s="6">
        <f t="shared" si="0"/>
        <v>7</v>
      </c>
      <c r="B13" s="7" t="s">
        <v>20</v>
      </c>
      <c r="C13" s="6">
        <v>2</v>
      </c>
      <c r="D13" s="11" t="s">
        <v>37</v>
      </c>
      <c r="E13" s="11" t="s">
        <v>38</v>
      </c>
      <c r="F13" s="10" t="s">
        <v>46</v>
      </c>
      <c r="G13" s="10" t="s">
        <v>13</v>
      </c>
      <c r="H13" s="9" t="s">
        <v>10</v>
      </c>
      <c r="I13" s="20" t="s">
        <v>80</v>
      </c>
    </row>
    <row r="14" spans="1:9">
      <c r="A14" s="6">
        <f t="shared" si="0"/>
        <v>8</v>
      </c>
      <c r="B14" s="7" t="s">
        <v>19</v>
      </c>
      <c r="C14" s="6">
        <v>3</v>
      </c>
      <c r="D14" s="11" t="s">
        <v>36</v>
      </c>
      <c r="E14" s="11" t="s">
        <v>44</v>
      </c>
      <c r="F14" s="12" t="s">
        <v>54</v>
      </c>
      <c r="G14" s="10" t="s">
        <v>13</v>
      </c>
      <c r="H14" s="9" t="s">
        <v>10</v>
      </c>
      <c r="I14" s="20" t="s">
        <v>80</v>
      </c>
    </row>
    <row r="15" spans="1:9">
      <c r="A15" s="6">
        <f t="shared" si="0"/>
        <v>9</v>
      </c>
      <c r="B15" s="7" t="s">
        <v>16</v>
      </c>
      <c r="C15" s="6">
        <v>9</v>
      </c>
      <c r="D15" s="11" t="s">
        <v>36</v>
      </c>
      <c r="E15" s="11" t="s">
        <v>34</v>
      </c>
      <c r="F15" s="11" t="s">
        <v>57</v>
      </c>
      <c r="G15" s="10" t="s">
        <v>13</v>
      </c>
      <c r="H15" s="9" t="s">
        <v>10</v>
      </c>
      <c r="I15" s="20" t="s">
        <v>80</v>
      </c>
    </row>
    <row r="16" spans="1:9">
      <c r="A16" s="6">
        <f t="shared" si="0"/>
        <v>10</v>
      </c>
      <c r="B16" s="7" t="s">
        <v>17</v>
      </c>
      <c r="C16" s="6">
        <v>4</v>
      </c>
      <c r="D16" s="11" t="s">
        <v>36</v>
      </c>
      <c r="E16" s="11" t="s">
        <v>35</v>
      </c>
      <c r="F16" s="12" t="s">
        <v>56</v>
      </c>
      <c r="G16" s="10" t="s">
        <v>13</v>
      </c>
      <c r="H16" s="9" t="s">
        <v>10</v>
      </c>
      <c r="I16" s="20" t="s">
        <v>80</v>
      </c>
    </row>
    <row r="17" spans="1:9">
      <c r="A17" s="6">
        <f t="shared" si="0"/>
        <v>11</v>
      </c>
      <c r="B17" s="7" t="s">
        <v>18</v>
      </c>
      <c r="C17" s="6">
        <v>4</v>
      </c>
      <c r="D17" s="11" t="s">
        <v>36</v>
      </c>
      <c r="E17" s="11" t="s">
        <v>43</v>
      </c>
      <c r="F17" s="12" t="s">
        <v>55</v>
      </c>
      <c r="G17" s="10" t="s">
        <v>13</v>
      </c>
      <c r="H17" s="9" t="s">
        <v>10</v>
      </c>
      <c r="I17" s="20" t="s">
        <v>80</v>
      </c>
    </row>
    <row r="18" spans="1:9">
      <c r="A18" s="6">
        <f t="shared" si="0"/>
        <v>12</v>
      </c>
      <c r="B18" s="7" t="s">
        <v>9</v>
      </c>
      <c r="C18" s="6">
        <v>1</v>
      </c>
      <c r="D18" s="11" t="s">
        <v>41</v>
      </c>
      <c r="E18" s="14" t="s">
        <v>73</v>
      </c>
      <c r="F18" s="10" t="s">
        <v>74</v>
      </c>
      <c r="G18" s="10" t="s">
        <v>30</v>
      </c>
      <c r="H18" s="9" t="s">
        <v>10</v>
      </c>
      <c r="I18" s="20" t="s">
        <v>80</v>
      </c>
    </row>
    <row r="19" spans="1:9">
      <c r="A19" s="6">
        <f t="shared" si="0"/>
        <v>13</v>
      </c>
      <c r="B19" s="7" t="s">
        <v>25</v>
      </c>
      <c r="C19" s="6">
        <v>2</v>
      </c>
      <c r="D19" s="11" t="s">
        <v>41</v>
      </c>
      <c r="E19" s="11" t="s">
        <v>42</v>
      </c>
      <c r="F19" s="10" t="s">
        <v>50</v>
      </c>
      <c r="G19" s="10" t="s">
        <v>31</v>
      </c>
      <c r="H19" s="9" t="s">
        <v>10</v>
      </c>
      <c r="I19" s="20" t="s">
        <v>80</v>
      </c>
    </row>
    <row r="20" spans="1:9">
      <c r="A20" s="6">
        <f t="shared" si="0"/>
        <v>14</v>
      </c>
      <c r="B20" s="7" t="s">
        <v>22</v>
      </c>
      <c r="C20" s="6">
        <v>1</v>
      </c>
      <c r="D20" s="11" t="s">
        <v>39</v>
      </c>
      <c r="E20" s="13" t="s">
        <v>23</v>
      </c>
      <c r="F20" s="10" t="s">
        <v>45</v>
      </c>
      <c r="G20" s="10" t="s">
        <v>30</v>
      </c>
      <c r="H20" s="9" t="s">
        <v>10</v>
      </c>
      <c r="I20" s="20" t="s">
        <v>80</v>
      </c>
    </row>
    <row r="21" spans="1:9">
      <c r="A21" s="6">
        <f t="shared" si="0"/>
        <v>15</v>
      </c>
      <c r="B21" s="7" t="s">
        <v>11</v>
      </c>
      <c r="C21" s="6">
        <v>1</v>
      </c>
      <c r="D21" s="13" t="s">
        <v>41</v>
      </c>
      <c r="E21" s="13" t="s">
        <v>51</v>
      </c>
      <c r="F21" s="12" t="s">
        <v>52</v>
      </c>
      <c r="G21" s="10" t="s">
        <v>33</v>
      </c>
      <c r="H21" s="9" t="s">
        <v>10</v>
      </c>
      <c r="I21" s="9"/>
    </row>
    <row r="22" spans="1:9">
      <c r="A22" s="6">
        <f t="shared" si="0"/>
        <v>16</v>
      </c>
      <c r="B22" s="7" t="s">
        <v>12</v>
      </c>
      <c r="C22" s="6">
        <v>1</v>
      </c>
      <c r="D22" s="11" t="s">
        <v>48</v>
      </c>
      <c r="E22" s="11" t="s">
        <v>40</v>
      </c>
      <c r="F22" s="10" t="s">
        <v>47</v>
      </c>
      <c r="G22" s="10" t="s">
        <v>49</v>
      </c>
      <c r="H22" s="9" t="s">
        <v>10</v>
      </c>
      <c r="I22" s="9"/>
    </row>
    <row r="23" spans="1:9">
      <c r="A23" s="6">
        <f t="shared" si="0"/>
        <v>17</v>
      </c>
      <c r="B23" s="7" t="s">
        <v>27</v>
      </c>
      <c r="C23" s="6">
        <v>1</v>
      </c>
      <c r="D23" s="13" t="s">
        <v>41</v>
      </c>
      <c r="E23" s="13" t="s">
        <v>28</v>
      </c>
      <c r="F23" s="12" t="s">
        <v>53</v>
      </c>
      <c r="G23" s="10" t="s">
        <v>32</v>
      </c>
      <c r="H23" s="9" t="s">
        <v>10</v>
      </c>
      <c r="I23" s="9"/>
    </row>
    <row r="25" spans="1:9">
      <c r="A25" s="15" t="s">
        <v>14</v>
      </c>
      <c r="B25" s="15"/>
      <c r="C25" s="15"/>
      <c r="D25" s="15"/>
      <c r="E25" s="15"/>
      <c r="F25" s="15"/>
      <c r="G25" s="15"/>
      <c r="H25" s="15"/>
      <c r="I25" s="15"/>
    </row>
    <row r="26" spans="1:9">
      <c r="A26" s="8"/>
      <c r="B26" s="8"/>
      <c r="C26" s="8"/>
      <c r="D26" s="8"/>
      <c r="E26" s="8"/>
      <c r="F26" s="8"/>
      <c r="G26" s="8"/>
      <c r="H26" s="8"/>
      <c r="I26" s="8"/>
    </row>
    <row r="27" spans="1:9" s="2" customFormat="1" ht="13.5">
      <c r="A27" s="16" t="s">
        <v>15</v>
      </c>
      <c r="B27" s="16"/>
      <c r="C27" s="16"/>
      <c r="D27" s="16"/>
      <c r="E27" s="16"/>
      <c r="F27" s="16"/>
      <c r="G27" s="16"/>
      <c r="H27" s="16"/>
      <c r="I27" s="16"/>
    </row>
  </sheetData>
  <sortState xmlns:xlrd2="http://schemas.microsoft.com/office/spreadsheetml/2017/richdata2" ref="A7:I23">
    <sortCondition ref="B7:B23"/>
    <sortCondition ref="C7:C23"/>
  </sortState>
  <mergeCells count="4">
    <mergeCell ref="A25:I25"/>
    <mergeCell ref="A27:I27"/>
    <mergeCell ref="D2:F4"/>
    <mergeCell ref="A2:B3"/>
  </mergeCells>
  <hyperlinks>
    <hyperlink ref="A27" r:id="rId1" xr:uid="{00000000-0004-0000-0000-000000000000}"/>
    <hyperlink ref="A25" display="Need a quick and accurante quote? Need an efficient production? Please read SMT Ordering Necessary Files &amp; Info in 1 minute. Thank you very much!" xr:uid="{00000000-0004-0000-0000-000001000000}"/>
    <hyperlink ref="A25:I25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Wendt</dc:creator>
  <cp:lastModifiedBy>Milan Wendt</cp:lastModifiedBy>
  <dcterms:created xsi:type="dcterms:W3CDTF">2006-09-13T11:21:00Z</dcterms:created>
  <dcterms:modified xsi:type="dcterms:W3CDTF">2025-09-11T07:45:25Z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